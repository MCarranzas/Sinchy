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" sheetId="1" state="visible" r:id="rId3"/>
  </sheets>
  <externalReferences>
    <externalReference r:id="rId4"/>
  </externalReferences>
  <definedNames>
    <definedName function="false" hidden="false" localSheetId="0" name="_xlnm.Print_Area" vbProcedure="false">hoja!$A$2:$I$45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<sst xmlns="http://schemas.openxmlformats.org/spreadsheetml/2006/main" count="43" uniqueCount="43">
  <si>
    <t xml:space="preserve">FORM-</t>
  </si>
  <si>
    <t xml:space="preserve">/2024</t>
  </si>
  <si>
    <t xml:space="preserve">HOJA DE LIQUIDACIÓN DE LA COMERCIALIZACIÓN DE MINERAL DE ORO MERCADO INTERNO</t>
  </si>
  <si>
    <t xml:space="preserve">VALOR</t>
  </si>
  <si>
    <t xml:space="preserve">UNIDAD</t>
  </si>
  <si>
    <t xml:space="preserve">ALICUOTA/OTROS</t>
  </si>
  <si>
    <t xml:space="preserve">DESCUENTO</t>
  </si>
  <si>
    <t xml:space="preserve">1. INFORMACION DE TRANSACCION</t>
  </si>
  <si>
    <t xml:space="preserve">TIPO DE CAMBIO </t>
  </si>
  <si>
    <t xml:space="preserve">Bs/$us</t>
  </si>
  <si>
    <t xml:space="preserve">FECHA DE TRANSACIÓN</t>
  </si>
  <si>
    <t xml:space="preserve">Nº DE TRANSACCIÓN</t>
  </si>
  <si>
    <t xml:space="preserve">1. CALCULOS DEL VALOR ECONÓMICO OFICIAL</t>
  </si>
  <si>
    <t xml:space="preserve">COTIZACIÓN QUINCENAL (MMM)</t>
  </si>
  <si>
    <t xml:space="preserve">$us/OzT</t>
  </si>
  <si>
    <t xml:space="preserve">1.1. DATOS DEL COMPRADOR</t>
  </si>
  <si>
    <t xml:space="preserve">VALOR BRUTO </t>
  </si>
  <si>
    <t xml:space="preserve">Bs</t>
  </si>
  <si>
    <t xml:space="preserve">RAZON SOCIAL</t>
  </si>
  <si>
    <t xml:space="preserve">EMPRESA ESTATAL DE PRODUCCIÓN Y COMERCIALIZACIÓN DEL ORO - EPCORO</t>
  </si>
  <si>
    <t xml:space="preserve">Nº NIM</t>
  </si>
  <si>
    <t xml:space="preserve">02-2388-05</t>
  </si>
  <si>
    <t xml:space="preserve">Nº NIT</t>
  </si>
  <si>
    <t xml:space="preserve">FEDERACION</t>
  </si>
  <si>
    <t xml:space="preserve">CAJA DE SALUD APORTE 1,8%</t>
  </si>
  <si>
    <t xml:space="preserve">NO</t>
  </si>
  <si>
    <t xml:space="preserve">NOMBRE VENDEDOR</t>
  </si>
  <si>
    <t xml:space="preserve">CARNET DE IDENTIDAD</t>
  </si>
  <si>
    <t xml:space="preserve">1.3. PROCEDENCIA DEL MINERAL</t>
  </si>
  <si>
    <t xml:space="preserve">NOMBRE AREA MINERA</t>
  </si>
  <si>
    <t xml:space="preserve">TITULAR DE DERECHO MINERO</t>
  </si>
  <si>
    <t xml:space="preserve">CODIGO UNICO DE LA AJAM PAGO DE PATENTE MINERO</t>
  </si>
  <si>
    <t xml:space="preserve">DEPARTAMENTO</t>
  </si>
  <si>
    <t xml:space="preserve">PROVINCIA</t>
  </si>
  <si>
    <t xml:space="preserve">MUNICIPIO</t>
  </si>
  <si>
    <t xml:space="preserve">CODIGO DEL MUNICIPIO</t>
  </si>
  <si>
    <t xml:space="preserve">LOCALIDAD</t>
  </si>
  <si>
    <t xml:space="preserve">2. INFORMACIÓN TÉCNICA DEL MINERAL ORO</t>
  </si>
  <si>
    <t xml:space="preserve">PRESENTACIÓN DEL MINERAL</t>
  </si>
  <si>
    <t xml:space="preserve">ORO FUNDIDO</t>
  </si>
  <si>
    <t xml:space="preserve">PESO   (Gramo)</t>
  </si>
  <si>
    <t xml:space="preserve">LEY PAGABLE DEL ORO (%)</t>
  </si>
  <si>
    <t xml:space="preserve">PESO FINO (Gr)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</si>
</sst>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* #,##0.00_-;\-* #,##0.00_-;_-* \-??_-;_-@_-"/>
    <numFmt numFmtId="166" formatCode="dd\/mm\/yyyy"/>
    <numFmt numFmtId="167" formatCode="#,##0.00"/>
    <numFmt numFmtId="168" formatCode="dd/mm/yyyy;@"/>
    <numFmt numFmtId="169" formatCode="0\ %"/>
    <numFmt numFmtId="170" formatCode="0.00\ %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0"/>
      <charset val="134"/>
    </font>
    <font>
      <b val="true"/>
      <sz val="18"/>
      <color theme="1"/>
      <name val="Calibri"/>
      <family val="0"/>
      <charset val="134"/>
    </font>
    <font>
      <sz val="10"/>
      <name val="Calibri"/>
      <family val="0"/>
      <charset val="134"/>
    </font>
    <font>
      <sz val="1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8"/>
      <name val="Arial Narrow"/>
      <family val="0"/>
      <charset val="134"/>
    </font>
    <font>
      <sz val="11"/>
      <color theme="1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sz val="16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3499"/>
        <bgColor rgb="FF333333"/>
      </patternFill>
    </fill>
    <fill>
      <patternFill patternType="solid">
        <fgColor theme="0" tint="-0.05"/>
        <bgColor rgb="FFFFFFFF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0" fontId="7" fillId="0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7" fillId="2" borderId="1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2597760</xdr:colOff>
      <xdr:row>3</xdr:row>
      <xdr:rowOff>190080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459720" y="258480"/>
          <a:ext cx="2339280" cy="622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OJA%20DE%20LIQUIDACION%20ACTU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OMBRES"/>
      <sheetName val="L723-"/>
      <sheetName val="L700"/>
      <sheetName val="L701"/>
      <sheetName val="L702"/>
      <sheetName val="L703"/>
      <sheetName val="L704"/>
      <sheetName val="L731-FINAL FIN"/>
      <sheetName val="L731"/>
      <sheetName val="L707"/>
      <sheetName val="L708"/>
      <sheetName val="L709"/>
      <sheetName val="L710"/>
      <sheetName val="L711"/>
      <sheetName val="L712"/>
      <sheetName val="L713"/>
      <sheetName val="L714"/>
      <sheetName val="L715"/>
      <sheetName val="L716"/>
      <sheetName val="L717"/>
      <sheetName val="L718"/>
      <sheetName val="L719"/>
      <sheetName val="L720"/>
      <sheetName val="L721"/>
      <sheetName val="L722"/>
      <sheetName val="L723"/>
      <sheetName val="L724"/>
      <sheetName val="L725"/>
      <sheetName val="L726"/>
      <sheetName val="L727"/>
      <sheetName val="L728"/>
      <sheetName val="L729"/>
      <sheetName val="L730"/>
    </sheetNames>
    <sheetDataSet>
      <sheetData sheetId="0">
        <row r="1">
          <cell r="G1">
            <v>6.96</v>
          </cell>
        </row>
        <row r="3">
          <cell r="C3">
            <v>45628</v>
          </cell>
          <cell r="D3" t="str">
            <v>EP-BCB-723</v>
          </cell>
        </row>
        <row r="3">
          <cell r="F3" t="str">
            <v>DYONNE LIZET TITO CORTEZ</v>
          </cell>
          <cell r="G3">
            <v>5956713</v>
          </cell>
          <cell r="H3" t="str">
            <v>COOP. DE EXPLOTACION AURIFERA CHIMA LTDA SECTOR 6</v>
          </cell>
          <cell r="I3" t="str">
            <v>COOPERATIVA MINERA CHIMA R.L.</v>
          </cell>
          <cell r="J3">
            <v>1500735</v>
          </cell>
          <cell r="K3" t="str">
            <v>LA PAZ</v>
          </cell>
          <cell r="L3" t="str">
            <v>LARECAJA</v>
          </cell>
          <cell r="M3" t="str">
            <v>TIPUANI</v>
          </cell>
          <cell r="N3">
            <v>20633</v>
          </cell>
          <cell r="O3" t="str">
            <v>TIPUANI</v>
          </cell>
          <cell r="P3">
            <v>1944.53</v>
          </cell>
          <cell r="Q3">
            <v>0.9302</v>
          </cell>
          <cell r="R3">
            <v>2648.57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F11" activeCellId="0" sqref="F11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1.6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f aca="false">[1]NOMBRES!C3</f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tr">
        <f aca="false">[1]NOMBRES!D3</f>
        <v>EP-BCB-723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f aca="false">[1]NOMBRES!R3</f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f aca="false">(F9/31.1035)*F6*C40</f>
        <v>1072018.8360554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/>
      <c r="F11" s="21"/>
      <c r="G11" s="13"/>
      <c r="H11" s="22"/>
      <c r="I11" s="23"/>
      <c r="J11" s="7"/>
    </row>
    <row r="12" customFormat="false" ht="15" hidden="false" customHeight="false" outlineLevel="0" collapsed="false">
      <c r="A12" s="7"/>
      <c r="B12" s="9" t="s">
        <v>20</v>
      </c>
      <c r="C12" s="24" t="s">
        <v>21</v>
      </c>
      <c r="D12" s="14"/>
      <c r="E12" s="9"/>
      <c r="F12" s="9"/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22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23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24</v>
      </c>
      <c r="C20" s="34" t="s">
        <v>25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26</v>
      </c>
      <c r="C21" s="29" t="str">
        <f aca="false">[1]NOMBRES!F3</f>
        <v>DYONNE LIZET TITO CORTEZ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27</v>
      </c>
      <c r="C22" s="38" t="n">
        <f aca="false">[1]NOMBRES!G3</f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28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29</v>
      </c>
      <c r="C27" s="41" t="str">
        <f aca="false">[1]NOMBRES!H3</f>
        <v>COOP. DE EXPLOTACION AURIFERA CHIMA LTDA SECTOR 6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30</v>
      </c>
      <c r="C28" s="42" t="str">
        <f aca="false">[1]NOMBRES!I3</f>
        <v>COOPERATIVA MINERA CHIMA R.L.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31</v>
      </c>
      <c r="C29" s="39" t="n">
        <f aca="false">[1]NOMBRES!J3</f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32</v>
      </c>
      <c r="C30" s="39" t="str">
        <f aca="false">[1]NOMBRES!K3</f>
        <v>LA PAZ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33</v>
      </c>
      <c r="C31" s="39" t="str">
        <f aca="false">[1]NOMBRES!L3</f>
        <v>LARECAJA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34</v>
      </c>
      <c r="C32" s="39" t="str">
        <f aca="false">[1]NOMBRES!M3</f>
        <v>TIPUANI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35</v>
      </c>
      <c r="C33" s="39" t="n">
        <f aca="false">[1]NOMBRES!N3</f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36</v>
      </c>
      <c r="C34" s="39" t="str">
        <f aca="false">[1]NOMBRES!O3</f>
        <v>TIPUANI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37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38</v>
      </c>
      <c r="C37" s="45" t="s">
        <v>39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40</v>
      </c>
      <c r="C38" s="46" t="n">
        <f aca="false">[1]NOMBRES!P3</f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41</v>
      </c>
      <c r="C39" s="47" t="n">
        <f aca="false">[1]NOMBRES!Q3</f>
        <v>0.9302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42</v>
      </c>
      <c r="C40" s="48" t="n">
        <f aca="false">C39*C38</f>
        <v>1808.801806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2026-09-22T21:48:57Z</dcterms:created>
  <dc:creator/>
  <dc:description/>
  <dc:language>es-BO</dc:language>
  <cp:lastModifiedBy/>
  <dcterms:modified xsi:type="dcterms:W3CDTF">2026-10-05T10:43:05Z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