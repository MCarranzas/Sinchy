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" sheetId="1" state="visible" r:id="rId3"/>
    <sheet name="hoja_2" sheetId="2" state="visible" r:id="rId4"/>
  </sheets>
  <externalReferences>
    <externalReference r:id="rId5"/>
  </externalReferences>
  <definedNames>
    <definedName function="false" hidden="false" localSheetId="0" name="_xlnm.Print_Area" vbProcedure="false">hoja!$A$2:$I$45</definedName>
    <definedName function="false" hidden="false" localSheetId="1" name="_xlnm.Print_Area" vbProcedure="false">hoja_2!$A$2:$I$45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<sst xmlns="http://schemas.openxmlformats.org/spreadsheetml/2006/main" count="94" uniqueCount="50">
  <si>
    <t xml:space="preserve">FORM-</t>
  </si>
  <si>
    <t xml:space="preserve">/2024</t>
  </si>
  <si>
    <t xml:space="preserve">HOJA DE LIQUIDACIÓN DE LA COMERCIALIZACIÓN DE MINERAL DE ORO MERCADO INTERNO</t>
  </si>
  <si>
    <t xml:space="preserve">VALOR</t>
  </si>
  <si>
    <t xml:space="preserve">UNIDAD</t>
  </si>
  <si>
    <t xml:space="preserve">ALICUOTA/OTROS</t>
  </si>
  <si>
    <t xml:space="preserve">DESCUENTO</t>
  </si>
  <si>
    <t xml:space="preserve">1. INFORMACION DE TRANSACCION</t>
  </si>
  <si>
    <t xml:space="preserve">TIPO DE CAMBIO </t>
  </si>
  <si>
    <t xml:space="preserve">Bs/$us</t>
  </si>
  <si>
    <t xml:space="preserve">FECHA DE TRANSACIÓN</t>
  </si>
  <si>
    <t xml:space="preserve">Nº DE TRANSACCIÓN</t>
  </si>
  <si>
    <t xml:space="preserve">1. CALCULOS DEL VALOR ECONÓMICO OFICIAL</t>
  </si>
  <si>
    <t xml:space="preserve">COTIZACIÓN QUINCENAL (MMM)</t>
  </si>
  <si>
    <t xml:space="preserve">$us/OzT</t>
  </si>
  <si>
    <t xml:space="preserve">1.1. DATOS DEL COMPRADOR</t>
  </si>
  <si>
    <t xml:space="preserve">VALOR BRUTO </t>
  </si>
  <si>
    <t xml:space="preserve">Bs</t>
  </si>
  <si>
    <t xml:space="preserve">RAZON SOCIAL</t>
  </si>
  <si>
    <t xml:space="preserve">EMPRESA ESTATAL DE PRODUCCIÓN Y COMERCIALIZACIÓN DEL ORO - EPCORO</t>
  </si>
  <si>
    <t xml:space="preserve">Nº NIM</t>
  </si>
  <si>
    <t xml:space="preserve">02-2388-05</t>
  </si>
  <si>
    <t xml:space="preserve">Nº NIT</t>
  </si>
  <si>
    <t xml:space="preserve">FEDERACION</t>
  </si>
  <si>
    <t xml:space="preserve">CAJA DE SALUD APORTE 1,8%</t>
  </si>
  <si>
    <t xml:space="preserve">NO</t>
  </si>
  <si>
    <t xml:space="preserve">NOMBRE VENDEDOR</t>
  </si>
  <si>
    <t xml:space="preserve">CARNET DE IDENTIDAD</t>
  </si>
  <si>
    <t xml:space="preserve">1.3. PROCEDENCIA DEL MINERAL</t>
  </si>
  <si>
    <t xml:space="preserve">NOMBRE AREA MINERA</t>
  </si>
  <si>
    <t xml:space="preserve">TITULAR DE DERECHO MINERO</t>
  </si>
  <si>
    <t xml:space="preserve">CODIGO UNICO DE LA AJAM PAGO DE PATENTE MINERO</t>
  </si>
  <si>
    <t xml:space="preserve">DEPARTAMENTO</t>
  </si>
  <si>
    <t xml:space="preserve">PROVINCIA</t>
  </si>
  <si>
    <t xml:space="preserve">MUNICIPIO</t>
  </si>
  <si>
    <t xml:space="preserve">CODIGO DEL MUNICIPIO</t>
  </si>
  <si>
    <t xml:space="preserve">LOCALIDAD</t>
  </si>
  <si>
    <t xml:space="preserve">2. INFORMACIÓN TÉCNICA DEL MINERAL ORO</t>
  </si>
  <si>
    <t xml:space="preserve">PRESENTACIÓN DEL MINERAL</t>
  </si>
  <si>
    <t xml:space="preserve">ORO FUNDIDO</t>
  </si>
  <si>
    <t xml:space="preserve">PESO   (Gramo)</t>
  </si>
  <si>
    <t xml:space="preserve">LEY PAGABLE DEL ORO (%)</t>
  </si>
  <si>
    <t xml:space="preserve">PESO FINO (Gr)</t>
  </si>
  <si>
    <t xml:space="preserve">EP-BCB-723</t>
  </si>
  <si>
    <t xml:space="preserve">DYONNE LIZET TITO CORTEZ</t>
  </si>
  <si>
    <t xml:space="preserve">COOP. DE EXPLOTACION AURIFERA CHIMA LTDA SECTOR 6</t>
  </si>
  <si>
    <t xml:space="preserve">COOPERATIVA MINERA CHIMA R.L.</t>
  </si>
  <si>
    <t xml:space="preserve">LA PAZ</t>
  </si>
  <si>
    <t xml:space="preserve">LARECAJA</t>
  </si>
  <si>
    <t xml:space="preserve">TIPUANI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</si>
</sst>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dd\/mm\/yyyy"/>
    <numFmt numFmtId="167" formatCode="#,##0.00"/>
    <numFmt numFmtId="168" formatCode="dd/mm/yyyy;@"/>
    <numFmt numFmtId="169" formatCode="0\ %"/>
    <numFmt numFmtId="170" formatCode="0.00\ %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34"/>
    </font>
    <font>
      <b val="true"/>
      <sz val="18"/>
      <color theme="1"/>
      <name val="Calibri"/>
      <family val="0"/>
      <charset val="134"/>
    </font>
    <font>
      <sz val="10"/>
      <name val="Calibri"/>
      <family val="0"/>
      <charset val="134"/>
    </font>
    <font>
      <sz val="1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8"/>
      <name val="Arial Narrow"/>
      <family val="0"/>
      <charset val="134"/>
    </font>
    <font>
      <sz val="11"/>
      <color theme="1"/>
      <name val="Calibri"/>
      <family val="0"/>
      <charset val="134"/>
    </font>
    <font>
      <b val="true"/>
      <sz val="1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sz val="11"/>
      <name val="Calibri"/>
      <family val="0"/>
    </font>
    <font>
      <sz val="16"/>
      <color theme="1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 tint="0.3499"/>
        <bgColor rgb="FF333333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25"/>
        <bgColor rgb="FFCCCCFF"/>
      </patternFill>
    </fill>
    <fill>
      <patternFill patternType="solid">
        <fgColor theme="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2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7" fillId="0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7" fillId="6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7" fillId="2" borderId="1" xfId="1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14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258480</xdr:colOff>
      <xdr:row>1</xdr:row>
      <xdr:rowOff>68040</xdr:rowOff>
    </xdr:from>
    <xdr:to>
      <xdr:col>1</xdr:col>
      <xdr:colOff>2597040</xdr:colOff>
      <xdr:row>3</xdr:row>
      <xdr:rowOff>189360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459720" y="258480"/>
          <a:ext cx="2338560" cy="62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258480</xdr:colOff>
      <xdr:row>1</xdr:row>
      <xdr:rowOff>68040</xdr:rowOff>
    </xdr:from>
    <xdr:to>
      <xdr:col>1</xdr:col>
      <xdr:colOff>2597040</xdr:colOff>
      <xdr:row>3</xdr:row>
      <xdr:rowOff>189360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459720" y="258480"/>
          <a:ext cx="2338560" cy="62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JA%20DE%20LIQUIDACION%20ACTUAL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MBRES"/>
      <sheetName val="L723-"/>
      <sheetName val="L700"/>
      <sheetName val="L701"/>
      <sheetName val="L702"/>
      <sheetName val="L703"/>
      <sheetName val="L704"/>
      <sheetName val="L731-FINAL FIN"/>
      <sheetName val="L731"/>
      <sheetName val="L707"/>
      <sheetName val="L708"/>
      <sheetName val="L709"/>
      <sheetName val="L710"/>
      <sheetName val="L711"/>
      <sheetName val="L712"/>
      <sheetName val="L713"/>
      <sheetName val="L714"/>
      <sheetName val="L715"/>
      <sheetName val="L716"/>
      <sheetName val="L717"/>
      <sheetName val="L718"/>
      <sheetName val="L719"/>
      <sheetName val="L720"/>
      <sheetName val="L721"/>
      <sheetName val="L722"/>
      <sheetName val="L723"/>
      <sheetName val="L724"/>
      <sheetName val="L725"/>
      <sheetName val="L726"/>
      <sheetName val="L727"/>
      <sheetName val="L728"/>
      <sheetName val="L729"/>
      <sheetName val="L730"/>
    </sheetNames>
    <sheetDataSet>
      <sheetData sheetId="0">
        <row r="1">
          <cell r="G1">
            <v>6.96</v>
          </cell>
        </row>
        <row r="3">
          <cell r="C3">
            <v>45628</v>
          </cell>
          <cell r="D3" t="str">
            <v>EP-BCB-723</v>
          </cell>
        </row>
        <row r="3">
          <cell r="F3" t="str">
            <v>DYONNE LIZET TITO CORTEZ</v>
          </cell>
          <cell r="G3">
            <v>5956713</v>
          </cell>
          <cell r="H3" t="str">
            <v>COOP. DE EXPLOTACION AURIFERA CHIMA LTDA SECTOR 6</v>
          </cell>
          <cell r="I3" t="str">
            <v>COOPERATIVA MINERA CHIMA R.L.</v>
          </cell>
          <cell r="J3">
            <v>1500735</v>
          </cell>
          <cell r="K3" t="str">
            <v>LA PAZ</v>
          </cell>
          <cell r="L3" t="str">
            <v>LARECAJA</v>
          </cell>
          <cell r="M3" t="str">
            <v>TIPUANI</v>
          </cell>
          <cell r="N3">
            <v>20633</v>
          </cell>
          <cell r="O3" t="str">
            <v>TIPUANI</v>
          </cell>
          <cell r="P3">
            <v>1944.53</v>
          </cell>
          <cell r="Q3">
            <v>0.9302</v>
          </cell>
          <cell r="R3">
            <v>2648.57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2:J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9" activeCellId="0" sqref="F9:F10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1"/>
    <col collapsed="false" customWidth="true" hidden="false" outlineLevel="0" max="3" min="3" style="1" width="44.24"/>
    <col collapsed="false" customWidth="true" hidden="false" outlineLevel="0" max="4" min="4" style="1" width="2.43"/>
    <col collapsed="false" customWidth="true" hidden="false" outlineLevel="0" max="5" min="5" style="1" width="51"/>
    <col collapsed="false" customWidth="true" hidden="false" outlineLevel="0" max="6" min="6" style="1" width="21"/>
    <col collapsed="false" customWidth="true" hidden="false" outlineLevel="0" max="7" min="7" style="1" width="8.29"/>
    <col collapsed="false" customWidth="true" hidden="false" outlineLevel="0" max="8" min="8" style="1" width="13.57"/>
    <col collapsed="false" customWidth="true" hidden="false" outlineLevel="0" max="9" min="9" style="1" width="17"/>
    <col collapsed="false" customWidth="true" hidden="false" outlineLevel="0" max="10" min="10" style="1" width="2.86"/>
    <col collapsed="false" customWidth="true" hidden="false" outlineLevel="0" max="16384" min="16384" style="1" width="11.53"/>
  </cols>
  <sheetData>
    <row r="2" customFormat="false" ht="17.35" hidden="false" customHeight="false" outlineLevel="0" collapsed="false">
      <c r="G2" s="2" t="s">
        <v>0</v>
      </c>
      <c r="H2" s="3" t="str">
        <f aca="false">C8</f>
        <v>EP-BCB-723</v>
      </c>
      <c r="I2" s="4" t="s">
        <v>1</v>
      </c>
    </row>
    <row r="3" customFormat="false" ht="22.05" hidden="false" customHeight="true" outlineLevel="0" collapsed="false">
      <c r="A3" s="5"/>
      <c r="C3" s="6" t="s">
        <v>2</v>
      </c>
      <c r="D3" s="6"/>
      <c r="E3" s="6"/>
      <c r="F3" s="6"/>
      <c r="G3" s="6"/>
      <c r="H3" s="6"/>
      <c r="I3" s="6"/>
      <c r="J3" s="5"/>
    </row>
    <row r="4" customFormat="false" ht="1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7"/>
    </row>
    <row r="5" customFormat="false" ht="21.65" hidden="false" customHeight="false" outlineLevel="0" collapsed="false">
      <c r="A5" s="7"/>
      <c r="B5" s="9"/>
      <c r="C5" s="9"/>
      <c r="D5" s="10"/>
      <c r="E5" s="9"/>
      <c r="F5" s="11" t="s">
        <v>3</v>
      </c>
      <c r="G5" s="11" t="s">
        <v>4</v>
      </c>
      <c r="H5" s="12" t="s">
        <v>5</v>
      </c>
      <c r="I5" s="11" t="s">
        <v>6</v>
      </c>
      <c r="J5" s="7"/>
    </row>
    <row r="6" customFormat="false" ht="15" hidden="false" customHeight="false" outlineLevel="0" collapsed="false">
      <c r="A6" s="7"/>
      <c r="B6" s="13" t="s">
        <v>7</v>
      </c>
      <c r="C6" s="9"/>
      <c r="D6" s="14"/>
      <c r="E6" s="13" t="s">
        <v>8</v>
      </c>
      <c r="F6" s="15" t="n">
        <f aca="false">[1]NOMBRES!G1</f>
        <v>6.96</v>
      </c>
      <c r="G6" s="9" t="s">
        <v>9</v>
      </c>
      <c r="H6" s="9"/>
      <c r="I6" s="9"/>
      <c r="J6" s="7"/>
    </row>
    <row r="7" customFormat="false" ht="15" hidden="false" customHeight="false" outlineLevel="0" collapsed="false">
      <c r="A7" s="7"/>
      <c r="B7" s="9" t="s">
        <v>10</v>
      </c>
      <c r="C7" s="16" t="n">
        <f aca="false">[1]NOMBRES!C3</f>
        <v>45628</v>
      </c>
      <c r="D7" s="14"/>
      <c r="E7" s="9"/>
      <c r="F7" s="9"/>
      <c r="G7" s="9"/>
      <c r="H7" s="9"/>
      <c r="I7" s="9"/>
      <c r="J7" s="7"/>
    </row>
    <row r="8" customFormat="false" ht="15" hidden="false" customHeight="false" outlineLevel="0" collapsed="false">
      <c r="A8" s="7"/>
      <c r="B8" s="9" t="s">
        <v>11</v>
      </c>
      <c r="C8" s="17" t="str">
        <f aca="false">[1]NOMBRES!D3</f>
        <v>EP-BCB-723</v>
      </c>
      <c r="D8" s="14"/>
      <c r="E8" s="13" t="s">
        <v>12</v>
      </c>
      <c r="F8" s="9"/>
      <c r="G8" s="9"/>
      <c r="H8" s="9"/>
      <c r="I8" s="9"/>
      <c r="J8" s="7"/>
    </row>
    <row r="9" customFormat="false" ht="15" hidden="false" customHeight="false" outlineLevel="0" collapsed="false">
      <c r="A9" s="7"/>
      <c r="B9" s="9"/>
      <c r="C9" s="9"/>
      <c r="D9" s="14"/>
      <c r="E9" s="9" t="s">
        <v>13</v>
      </c>
      <c r="F9" s="18" t="n">
        <f aca="false">[1]NOMBRES!R3</f>
        <v>2648.57</v>
      </c>
      <c r="G9" s="9" t="s">
        <v>14</v>
      </c>
      <c r="H9" s="9"/>
      <c r="I9" s="9"/>
      <c r="J9" s="7"/>
    </row>
    <row r="10" customFormat="false" ht="15" hidden="false" customHeight="false" outlineLevel="0" collapsed="false">
      <c r="A10" s="7"/>
      <c r="B10" s="13" t="s">
        <v>15</v>
      </c>
      <c r="C10" s="9"/>
      <c r="D10" s="14"/>
      <c r="E10" s="13" t="s">
        <v>16</v>
      </c>
      <c r="F10" s="19" t="n">
        <f aca="false">(F9/31.1035)*F6*C40</f>
        <v>1072018.8360554</v>
      </c>
      <c r="G10" s="13" t="s">
        <v>17</v>
      </c>
      <c r="H10" s="9"/>
      <c r="I10" s="9"/>
      <c r="J10" s="7"/>
    </row>
    <row r="11" customFormat="false" ht="28.5" hidden="false" customHeight="true" outlineLevel="0" collapsed="false">
      <c r="A11" s="7"/>
      <c r="B11" s="9" t="s">
        <v>18</v>
      </c>
      <c r="C11" s="20" t="s">
        <v>19</v>
      </c>
      <c r="D11" s="14"/>
      <c r="E11" s="13"/>
      <c r="F11" s="21"/>
      <c r="G11" s="13"/>
      <c r="H11" s="22"/>
      <c r="I11" s="23"/>
      <c r="J11" s="7"/>
    </row>
    <row r="12" customFormat="false" ht="15" hidden="false" customHeight="false" outlineLevel="0" collapsed="false">
      <c r="A12" s="7"/>
      <c r="B12" s="9" t="s">
        <v>20</v>
      </c>
      <c r="C12" s="24" t="s">
        <v>21</v>
      </c>
      <c r="D12" s="14"/>
      <c r="E12" s="9"/>
      <c r="F12" s="9"/>
      <c r="G12" s="9"/>
      <c r="H12" s="9"/>
      <c r="I12" s="9"/>
      <c r="J12" s="7"/>
    </row>
    <row r="13" customFormat="false" ht="15" hidden="false" customHeight="false" outlineLevel="0" collapsed="false">
      <c r="A13" s="7"/>
      <c r="B13" s="9" t="s">
        <v>22</v>
      </c>
      <c r="C13" s="25" t="n">
        <v>1006965023</v>
      </c>
      <c r="D13" s="14"/>
      <c r="E13" s="13"/>
      <c r="F13" s="26"/>
      <c r="G13" s="9"/>
      <c r="H13" s="9"/>
      <c r="I13" s="9"/>
      <c r="J13" s="7"/>
    </row>
    <row r="14" customFormat="false" ht="15" hidden="false" customHeight="false" outlineLevel="0" collapsed="false">
      <c r="A14" s="7"/>
      <c r="B14" s="9"/>
      <c r="C14" s="9"/>
      <c r="D14" s="14"/>
      <c r="E14" s="9"/>
      <c r="F14" s="27"/>
      <c r="G14" s="9"/>
      <c r="H14" s="9"/>
      <c r="I14" s="9"/>
      <c r="J14" s="7"/>
    </row>
    <row r="15" customFormat="false" ht="15" hidden="false" customHeight="false" outlineLevel="0" collapsed="false">
      <c r="A15" s="7"/>
      <c r="B15" s="13"/>
      <c r="C15" s="9"/>
      <c r="D15" s="14"/>
      <c r="E15" s="9"/>
      <c r="F15" s="28"/>
      <c r="G15" s="9"/>
      <c r="H15" s="26"/>
      <c r="I15" s="9"/>
      <c r="J15" s="7"/>
    </row>
    <row r="16" customFormat="false" ht="15" hidden="false" customHeight="false" outlineLevel="0" collapsed="false">
      <c r="A16" s="7"/>
      <c r="B16" s="9"/>
      <c r="C16" s="29"/>
      <c r="D16" s="14"/>
      <c r="E16" s="13"/>
      <c r="F16" s="30"/>
      <c r="G16" s="31"/>
      <c r="H16" s="9"/>
      <c r="I16" s="9"/>
      <c r="J16" s="7"/>
    </row>
    <row r="17" customFormat="false" ht="15" hidden="false" customHeight="false" outlineLevel="0" collapsed="false">
      <c r="A17" s="7"/>
      <c r="B17" s="9"/>
      <c r="C17" s="24"/>
      <c r="D17" s="14"/>
      <c r="E17" s="9"/>
      <c r="F17" s="26"/>
      <c r="G17" s="9"/>
      <c r="H17" s="9"/>
      <c r="I17" s="9"/>
      <c r="J17" s="7"/>
    </row>
    <row r="18" customFormat="false" ht="15" hidden="false" customHeight="false" outlineLevel="0" collapsed="false">
      <c r="A18" s="7"/>
      <c r="B18" s="9"/>
      <c r="C18" s="25"/>
      <c r="D18" s="14"/>
      <c r="E18" s="9"/>
      <c r="F18" s="9"/>
      <c r="G18" s="9"/>
      <c r="H18" s="9"/>
      <c r="I18" s="9"/>
      <c r="J18" s="7"/>
    </row>
    <row r="19" customFormat="false" ht="15" hidden="false" customHeight="false" outlineLevel="0" collapsed="false">
      <c r="A19" s="7"/>
      <c r="B19" s="13" t="s">
        <v>23</v>
      </c>
      <c r="C19" s="32"/>
      <c r="D19" s="14"/>
      <c r="E19" s="33"/>
      <c r="F19" s="19"/>
      <c r="G19" s="9"/>
      <c r="H19" s="9"/>
      <c r="I19" s="23"/>
      <c r="J19" s="7"/>
    </row>
    <row r="20" customFormat="false" ht="15" hidden="false" customHeight="false" outlineLevel="0" collapsed="false">
      <c r="A20" s="7"/>
      <c r="B20" s="13" t="s">
        <v>24</v>
      </c>
      <c r="C20" s="34" t="s">
        <v>25</v>
      </c>
      <c r="D20" s="14"/>
      <c r="E20" s="9"/>
      <c r="F20" s="35"/>
      <c r="G20" s="9"/>
      <c r="H20" s="36"/>
      <c r="I20" s="9"/>
      <c r="J20" s="7"/>
    </row>
    <row r="21" customFormat="false" ht="15" hidden="false" customHeight="false" outlineLevel="0" collapsed="false">
      <c r="A21" s="7"/>
      <c r="B21" s="9" t="s">
        <v>26</v>
      </c>
      <c r="C21" s="29" t="str">
        <f aca="false">[1]NOMBRES!F3</f>
        <v>DYONNE LIZET TITO CORTEZ</v>
      </c>
      <c r="D21" s="14"/>
      <c r="E21" s="9"/>
      <c r="F21" s="26"/>
      <c r="G21" s="9"/>
      <c r="H21" s="37"/>
      <c r="I21" s="9"/>
      <c r="J21" s="7"/>
    </row>
    <row r="22" customFormat="false" ht="15" hidden="false" customHeight="false" outlineLevel="0" collapsed="false">
      <c r="A22" s="7"/>
      <c r="B22" s="9" t="s">
        <v>27</v>
      </c>
      <c r="C22" s="38" t="n">
        <f aca="false">[1]NOMBRES!G3</f>
        <v>5956713</v>
      </c>
      <c r="D22" s="14"/>
      <c r="E22" s="9"/>
      <c r="F22" s="35"/>
      <c r="G22" s="9"/>
      <c r="H22" s="36"/>
      <c r="I22" s="9"/>
      <c r="J22" s="7"/>
    </row>
    <row r="23" customFormat="false" ht="15" hidden="false" customHeight="false" outlineLevel="0" collapsed="false">
      <c r="A23" s="7"/>
      <c r="B23" s="9"/>
      <c r="C23" s="9"/>
      <c r="D23" s="14"/>
      <c r="E23" s="9"/>
      <c r="F23" s="35"/>
      <c r="G23" s="9"/>
      <c r="H23" s="36"/>
      <c r="I23" s="9"/>
      <c r="J23" s="7"/>
    </row>
    <row r="24" customFormat="false" ht="15" hidden="false" customHeight="false" outlineLevel="0" collapsed="false">
      <c r="A24" s="7"/>
      <c r="B24" s="9"/>
      <c r="C24" s="39"/>
      <c r="D24" s="14"/>
      <c r="E24" s="9"/>
      <c r="F24" s="26"/>
      <c r="G24" s="9"/>
      <c r="H24" s="37"/>
      <c r="I24" s="23"/>
      <c r="J24" s="7"/>
    </row>
    <row r="25" customFormat="false" ht="15" hidden="false" customHeight="false" outlineLevel="0" collapsed="false">
      <c r="A25" s="7"/>
      <c r="B25" s="9"/>
      <c r="C25" s="9"/>
      <c r="D25" s="14"/>
      <c r="E25" s="13"/>
      <c r="F25" s="19"/>
      <c r="G25" s="13"/>
      <c r="H25" s="40"/>
      <c r="I25" s="40"/>
      <c r="J25" s="7"/>
    </row>
    <row r="26" customFormat="false" ht="15" hidden="false" customHeight="false" outlineLevel="0" collapsed="false">
      <c r="A26" s="7"/>
      <c r="B26" s="13" t="s">
        <v>28</v>
      </c>
      <c r="C26" s="9"/>
      <c r="D26" s="14"/>
      <c r="E26" s="9"/>
      <c r="F26" s="26"/>
      <c r="G26" s="9"/>
      <c r="H26" s="9"/>
      <c r="I26" s="9"/>
      <c r="J26" s="7"/>
    </row>
    <row r="27" customFormat="false" ht="23.85" hidden="false" customHeight="false" outlineLevel="0" collapsed="false">
      <c r="A27" s="7"/>
      <c r="B27" s="9" t="s">
        <v>29</v>
      </c>
      <c r="C27" s="41" t="str">
        <f aca="false">[1]NOMBRES!H3</f>
        <v>COOP. DE EXPLOTACION AURIFERA CHIMA LTDA SECTOR 6</v>
      </c>
      <c r="D27" s="14"/>
      <c r="E27" s="9"/>
      <c r="F27" s="26"/>
      <c r="G27" s="9"/>
      <c r="H27" s="40"/>
      <c r="I27" s="9"/>
      <c r="J27" s="7"/>
    </row>
    <row r="28" customFormat="false" ht="28.5" hidden="false" customHeight="true" outlineLevel="0" collapsed="false">
      <c r="A28" s="7"/>
      <c r="B28" s="9" t="s">
        <v>30</v>
      </c>
      <c r="C28" s="42" t="str">
        <f aca="false">[1]NOMBRES!I3</f>
        <v>COOPERATIVA MINERA CHIMA R.L.</v>
      </c>
      <c r="D28" s="14"/>
      <c r="E28" s="13"/>
      <c r="F28" s="19"/>
      <c r="G28" s="9"/>
      <c r="H28" s="23"/>
      <c r="I28" s="40"/>
      <c r="J28" s="7"/>
    </row>
    <row r="29" customFormat="false" ht="15" hidden="false" customHeight="false" outlineLevel="0" collapsed="false">
      <c r="A29" s="7"/>
      <c r="B29" s="43" t="s">
        <v>31</v>
      </c>
      <c r="C29" s="39" t="n">
        <f aca="false">[1]NOMBRES!J3</f>
        <v>1500735</v>
      </c>
      <c r="D29" s="14"/>
      <c r="E29" s="9"/>
      <c r="F29" s="26"/>
      <c r="G29" s="9"/>
      <c r="H29" s="9"/>
      <c r="I29" s="9"/>
      <c r="J29" s="7"/>
    </row>
    <row r="30" customFormat="false" ht="15" hidden="false" customHeight="false" outlineLevel="0" collapsed="false">
      <c r="A30" s="7"/>
      <c r="B30" s="9" t="s">
        <v>32</v>
      </c>
      <c r="C30" s="39" t="str">
        <f aca="false">[1]NOMBRES!K3</f>
        <v>LA PAZ</v>
      </c>
      <c r="D30" s="14"/>
      <c r="E30" s="9"/>
      <c r="F30" s="26"/>
      <c r="G30" s="9"/>
      <c r="H30" s="36"/>
      <c r="I30" s="9"/>
      <c r="J30" s="7"/>
    </row>
    <row r="31" customFormat="false" ht="15" hidden="false" customHeight="false" outlineLevel="0" collapsed="false">
      <c r="A31" s="7"/>
      <c r="B31" s="9" t="s">
        <v>33</v>
      </c>
      <c r="C31" s="39" t="str">
        <f aca="false">[1]NOMBRES!L3</f>
        <v>LARECAJA</v>
      </c>
      <c r="D31" s="14"/>
      <c r="E31" s="9"/>
      <c r="F31" s="26"/>
      <c r="G31" s="9"/>
      <c r="H31" s="37"/>
      <c r="I31" s="9"/>
      <c r="J31" s="7"/>
    </row>
    <row r="32" customFormat="false" ht="15" hidden="false" customHeight="false" outlineLevel="0" collapsed="false">
      <c r="A32" s="7"/>
      <c r="B32" s="9" t="s">
        <v>34</v>
      </c>
      <c r="C32" s="39" t="str">
        <f aca="false">[1]NOMBRES!M3</f>
        <v>TIPUANI</v>
      </c>
      <c r="D32" s="14"/>
      <c r="E32" s="9"/>
      <c r="F32" s="26"/>
      <c r="G32" s="9"/>
      <c r="H32" s="9"/>
      <c r="I32" s="9"/>
      <c r="J32" s="7"/>
    </row>
    <row r="33" customFormat="false" ht="15" hidden="false" customHeight="false" outlineLevel="0" collapsed="false">
      <c r="A33" s="7"/>
      <c r="B33" s="9" t="s">
        <v>35</v>
      </c>
      <c r="C33" s="39" t="n">
        <f aca="false">[1]NOMBRES!N3</f>
        <v>20633</v>
      </c>
      <c r="D33" s="14"/>
      <c r="E33" s="13"/>
      <c r="F33" s="19"/>
      <c r="G33" s="9"/>
      <c r="H33" s="9"/>
      <c r="I33" s="40"/>
      <c r="J33" s="7"/>
    </row>
    <row r="34" customFormat="false" ht="15" hidden="false" customHeight="false" outlineLevel="0" collapsed="false">
      <c r="A34" s="7"/>
      <c r="B34" s="9" t="s">
        <v>36</v>
      </c>
      <c r="C34" s="39" t="str">
        <f aca="false">[1]NOMBRES!O3</f>
        <v>TIPUANI</v>
      </c>
      <c r="D34" s="14"/>
      <c r="E34" s="9"/>
      <c r="F34" s="26"/>
      <c r="G34" s="9"/>
      <c r="H34" s="23"/>
      <c r="I34" s="23"/>
      <c r="J34" s="7"/>
    </row>
    <row r="35" customFormat="false" ht="15" hidden="false" customHeight="false" outlineLevel="0" collapsed="false">
      <c r="A35" s="7"/>
      <c r="B35" s="9"/>
      <c r="C35" s="9"/>
      <c r="D35" s="14"/>
      <c r="E35" s="9"/>
      <c r="F35" s="35"/>
      <c r="G35" s="9"/>
      <c r="H35" s="9"/>
      <c r="I35" s="9"/>
      <c r="J35" s="7"/>
    </row>
    <row r="36" customFormat="false" ht="15" hidden="false" customHeight="false" outlineLevel="0" collapsed="false">
      <c r="A36" s="7"/>
      <c r="B36" s="13" t="s">
        <v>37</v>
      </c>
      <c r="C36" s="9"/>
      <c r="D36" s="14"/>
      <c r="E36" s="9"/>
      <c r="F36" s="26"/>
      <c r="G36" s="9"/>
      <c r="H36" s="44"/>
      <c r="I36" s="9"/>
      <c r="J36" s="7"/>
    </row>
    <row r="37" customFormat="false" ht="15" hidden="false" customHeight="false" outlineLevel="0" collapsed="false">
      <c r="A37" s="7"/>
      <c r="B37" s="9" t="s">
        <v>38</v>
      </c>
      <c r="C37" s="45" t="s">
        <v>39</v>
      </c>
      <c r="D37" s="14"/>
      <c r="E37" s="9"/>
      <c r="F37" s="26"/>
      <c r="G37" s="9"/>
      <c r="H37" s="9"/>
      <c r="I37" s="9"/>
      <c r="J37" s="7"/>
    </row>
    <row r="38" customFormat="false" ht="15" hidden="false" customHeight="false" outlineLevel="0" collapsed="false">
      <c r="A38" s="7"/>
      <c r="B38" s="9" t="s">
        <v>40</v>
      </c>
      <c r="C38" s="46" t="n">
        <f aca="false">[1]NOMBRES!P3</f>
        <v>1944.53</v>
      </c>
      <c r="D38" s="14"/>
      <c r="E38" s="13"/>
      <c r="F38" s="26"/>
      <c r="G38" s="9"/>
      <c r="H38" s="9"/>
      <c r="I38" s="40"/>
      <c r="J38" s="7"/>
    </row>
    <row r="39" customFormat="false" ht="15" hidden="false" customHeight="false" outlineLevel="0" collapsed="false">
      <c r="A39" s="7"/>
      <c r="B39" s="9" t="s">
        <v>41</v>
      </c>
      <c r="C39" s="47" t="n">
        <f aca="false">[1]NOMBRES!Q3</f>
        <v>0.9302</v>
      </c>
      <c r="D39" s="14"/>
      <c r="E39" s="13"/>
      <c r="F39" s="30"/>
      <c r="G39" s="31"/>
      <c r="H39" s="9"/>
      <c r="I39" s="40"/>
      <c r="J39" s="7"/>
    </row>
    <row r="40" customFormat="false" ht="15" hidden="false" customHeight="false" outlineLevel="0" collapsed="false">
      <c r="A40" s="7"/>
      <c r="B40" s="9" t="s">
        <v>42</v>
      </c>
      <c r="C40" s="48" t="n">
        <f aca="false">C39*C38</f>
        <v>1808.801806</v>
      </c>
      <c r="D40" s="14"/>
      <c r="E40" s="9"/>
      <c r="F40" s="26"/>
      <c r="G40" s="9"/>
      <c r="H40" s="9"/>
      <c r="I40" s="40"/>
      <c r="J40" s="7"/>
    </row>
    <row r="41" customFormat="false" ht="15" hidden="false" customHeight="false" outlineLevel="0" collapsed="false">
      <c r="A41" s="7"/>
      <c r="B41" s="14"/>
      <c r="C41" s="14"/>
      <c r="D41" s="14"/>
      <c r="E41" s="14"/>
      <c r="F41" s="14"/>
      <c r="G41" s="14"/>
      <c r="H41" s="14"/>
      <c r="I41" s="14"/>
      <c r="J41" s="7"/>
    </row>
    <row r="43" customFormat="false" ht="15" hidden="false" customHeight="false" outlineLevel="0" collapsed="false">
      <c r="B43" s="49"/>
      <c r="C43" s="49"/>
      <c r="D43" s="49"/>
      <c r="E43" s="49"/>
      <c r="F43" s="49"/>
      <c r="G43" s="49"/>
      <c r="H43" s="49"/>
      <c r="I43" s="49"/>
    </row>
    <row r="44" customFormat="false" ht="15" hidden="false" customHeight="false" outlineLevel="0" collapsed="false">
      <c r="B44" s="49"/>
      <c r="C44" s="49"/>
      <c r="D44" s="49"/>
      <c r="E44" s="49"/>
      <c r="F44" s="49"/>
      <c r="G44" s="49"/>
      <c r="H44" s="49"/>
      <c r="I44" s="49"/>
    </row>
    <row r="45" customFormat="false" ht="15" hidden="false" customHeight="false" outlineLevel="0" collapsed="false">
      <c r="B45" s="49"/>
      <c r="C45" s="49"/>
      <c r="D45" s="49"/>
      <c r="E45" s="49"/>
      <c r="F45" s="49"/>
      <c r="G45" s="49"/>
      <c r="H45" s="49"/>
      <c r="I45" s="49"/>
    </row>
  </sheetData>
  <mergeCells count="2">
    <mergeCell ref="C3:I3"/>
    <mergeCell ref="B43:I45"/>
  </mergeCells>
  <dataValidations count="1">
    <dataValidation allowBlank="false" errorStyle="stop" operator="between" showDropDown="false" showErrorMessage="true" showInputMessage="true" sqref="C1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colBreaks count="1" manualBreakCount="1">
    <brk id="9" man="true" max="65535" min="0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2:J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9" activeCellId="0" sqref="F9:F10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51"/>
    <col collapsed="false" customWidth="true" hidden="false" outlineLevel="0" max="3" min="3" style="1" width="44.24"/>
    <col collapsed="false" customWidth="true" hidden="false" outlineLevel="0" max="4" min="4" style="1" width="2.43"/>
    <col collapsed="false" customWidth="true" hidden="false" outlineLevel="0" max="5" min="5" style="1" width="51"/>
    <col collapsed="false" customWidth="true" hidden="false" outlineLevel="0" max="6" min="6" style="1" width="21"/>
    <col collapsed="false" customWidth="true" hidden="false" outlineLevel="0" max="7" min="7" style="1" width="8.29"/>
    <col collapsed="false" customWidth="true" hidden="false" outlineLevel="0" max="8" min="8" style="1" width="13.57"/>
    <col collapsed="false" customWidth="true" hidden="false" outlineLevel="0" max="9" min="9" style="1" width="17"/>
    <col collapsed="false" customWidth="true" hidden="false" outlineLevel="0" max="10" min="10" style="1" width="2.86"/>
    <col collapsed="false" customWidth="true" hidden="false" outlineLevel="0" max="16384" min="16384" style="0" width="11.53"/>
  </cols>
  <sheetData>
    <row r="2" customFormat="false" ht="17.35" hidden="false" customHeight="false" outlineLevel="0" collapsed="false">
      <c r="G2" s="2" t="s">
        <v>0</v>
      </c>
      <c r="H2" s="3" t="str">
        <f aca="false">C8</f>
        <v>EP-BCB-723</v>
      </c>
      <c r="I2" s="4" t="s">
        <v>1</v>
      </c>
    </row>
    <row r="3" customFormat="false" ht="22.05" hidden="false" customHeight="true" outlineLevel="0" collapsed="false">
      <c r="A3" s="5"/>
      <c r="C3" s="6" t="s">
        <v>2</v>
      </c>
      <c r="D3" s="6"/>
      <c r="E3" s="6"/>
      <c r="F3" s="6"/>
      <c r="G3" s="6"/>
      <c r="H3" s="6"/>
      <c r="I3" s="6"/>
      <c r="J3" s="5"/>
    </row>
    <row r="4" customFormat="false" ht="15" hidden="false" customHeight="false" outlineLevel="0" collapsed="false">
      <c r="A4" s="7"/>
      <c r="B4" s="8"/>
      <c r="C4" s="8"/>
      <c r="D4" s="8"/>
      <c r="E4" s="8"/>
      <c r="F4" s="8"/>
      <c r="G4" s="8"/>
      <c r="H4" s="8"/>
      <c r="I4" s="8"/>
      <c r="J4" s="7"/>
    </row>
    <row r="5" customFormat="false" ht="21.65" hidden="false" customHeight="false" outlineLevel="0" collapsed="false">
      <c r="A5" s="7"/>
      <c r="B5" s="9"/>
      <c r="C5" s="9"/>
      <c r="D5" s="10"/>
      <c r="E5" s="9"/>
      <c r="F5" s="11" t="s">
        <v>3</v>
      </c>
      <c r="G5" s="11" t="s">
        <v>4</v>
      </c>
      <c r="H5" s="12" t="s">
        <v>5</v>
      </c>
      <c r="I5" s="11" t="s">
        <v>6</v>
      </c>
      <c r="J5" s="7"/>
    </row>
    <row r="6" customFormat="false" ht="15" hidden="false" customHeight="false" outlineLevel="0" collapsed="false">
      <c r="A6" s="7"/>
      <c r="B6" s="13" t="s">
        <v>7</v>
      </c>
      <c r="C6" s="9"/>
      <c r="D6" s="14"/>
      <c r="E6" s="13" t="s">
        <v>8</v>
      </c>
      <c r="F6" s="15" t="n">
        <f aca="false">[1]NOMBRES!G1</f>
        <v>6.96</v>
      </c>
      <c r="G6" s="9" t="s">
        <v>9</v>
      </c>
      <c r="H6" s="9"/>
      <c r="I6" s="9"/>
      <c r="J6" s="7"/>
    </row>
    <row r="7" customFormat="false" ht="13.8" hidden="false" customHeight="false" outlineLevel="0" collapsed="false">
      <c r="A7" s="7"/>
      <c r="B7" s="9" t="s">
        <v>10</v>
      </c>
      <c r="C7" s="16" t="n">
        <v>45628</v>
      </c>
      <c r="D7" s="14"/>
      <c r="E7" s="9"/>
      <c r="F7" s="9"/>
      <c r="G7" s="9"/>
      <c r="H7" s="9"/>
      <c r="I7" s="9"/>
      <c r="J7" s="7"/>
    </row>
    <row r="8" customFormat="false" ht="13.8" hidden="false" customHeight="false" outlineLevel="0" collapsed="false">
      <c r="A8" s="7"/>
      <c r="B8" s="9" t="s">
        <v>11</v>
      </c>
      <c r="C8" s="17" t="s">
        <v>43</v>
      </c>
      <c r="D8" s="14"/>
      <c r="E8" s="13" t="s">
        <v>12</v>
      </c>
      <c r="F8" s="9"/>
      <c r="G8" s="9"/>
      <c r="H8" s="9"/>
      <c r="I8" s="9"/>
      <c r="J8" s="7"/>
    </row>
    <row r="9" customFormat="false" ht="13.8" hidden="false" customHeight="false" outlineLevel="0" collapsed="false">
      <c r="A9" s="7"/>
      <c r="B9" s="9"/>
      <c r="C9" s="9"/>
      <c r="D9" s="14"/>
      <c r="E9" s="9" t="s">
        <v>13</v>
      </c>
      <c r="F9" s="18" t="n">
        <v>2648.57</v>
      </c>
      <c r="G9" s="9" t="s">
        <v>14</v>
      </c>
      <c r="H9" s="9"/>
      <c r="I9" s="9"/>
      <c r="J9" s="7"/>
    </row>
    <row r="10" customFormat="false" ht="13.8" hidden="false" customHeight="false" outlineLevel="0" collapsed="false">
      <c r="A10" s="7"/>
      <c r="B10" s="13" t="s">
        <v>15</v>
      </c>
      <c r="C10" s="9"/>
      <c r="D10" s="14"/>
      <c r="E10" s="13" t="s">
        <v>16</v>
      </c>
      <c r="F10" s="19" t="n">
        <v>1072018.8360554</v>
      </c>
      <c r="G10" s="13" t="s">
        <v>17</v>
      </c>
      <c r="H10" s="9"/>
      <c r="I10" s="9"/>
      <c r="J10" s="7"/>
    </row>
    <row r="11" customFormat="false" ht="28.5" hidden="false" customHeight="true" outlineLevel="0" collapsed="false">
      <c r="A11" s="7"/>
      <c r="B11" s="9" t="s">
        <v>18</v>
      </c>
      <c r="C11" s="20" t="s">
        <v>19</v>
      </c>
      <c r="D11" s="14"/>
      <c r="E11" s="13"/>
      <c r="F11" s="21"/>
      <c r="G11" s="13"/>
      <c r="H11" s="22"/>
      <c r="I11" s="23"/>
      <c r="J11" s="7"/>
    </row>
    <row r="12" customFormat="false" ht="13.8" hidden="false" customHeight="false" outlineLevel="0" collapsed="false">
      <c r="A12" s="7"/>
      <c r="B12" s="9" t="s">
        <v>20</v>
      </c>
      <c r="C12" s="24" t="s">
        <v>21</v>
      </c>
      <c r="D12" s="14"/>
      <c r="E12" s="9"/>
      <c r="F12" s="9"/>
      <c r="G12" s="9"/>
      <c r="H12" s="9"/>
      <c r="I12" s="9"/>
      <c r="J12" s="7"/>
    </row>
    <row r="13" customFormat="false" ht="13.8" hidden="false" customHeight="false" outlineLevel="0" collapsed="false">
      <c r="A13" s="7"/>
      <c r="B13" s="9" t="s">
        <v>22</v>
      </c>
      <c r="C13" s="25" t="n">
        <v>1006965023</v>
      </c>
      <c r="D13" s="14"/>
      <c r="E13" s="13"/>
      <c r="F13" s="26"/>
      <c r="G13" s="9"/>
      <c r="H13" s="9"/>
      <c r="I13" s="9"/>
      <c r="J13" s="7"/>
    </row>
    <row r="14" customFormat="false" ht="13.8" hidden="false" customHeight="false" outlineLevel="0" collapsed="false">
      <c r="A14" s="7"/>
      <c r="B14" s="9"/>
      <c r="C14" s="9"/>
      <c r="D14" s="14"/>
      <c r="E14" s="9"/>
      <c r="F14" s="27"/>
      <c r="G14" s="9"/>
      <c r="H14" s="9"/>
      <c r="I14" s="9"/>
      <c r="J14" s="7"/>
    </row>
    <row r="15" customFormat="false" ht="13.8" hidden="false" customHeight="false" outlineLevel="0" collapsed="false">
      <c r="A15" s="7"/>
      <c r="B15" s="13"/>
      <c r="C15" s="9"/>
      <c r="D15" s="14"/>
      <c r="E15" s="9"/>
      <c r="F15" s="28"/>
      <c r="G15" s="9"/>
      <c r="H15" s="26"/>
      <c r="I15" s="9"/>
      <c r="J15" s="7"/>
    </row>
    <row r="16" customFormat="false" ht="13.8" hidden="false" customHeight="false" outlineLevel="0" collapsed="false">
      <c r="A16" s="7"/>
      <c r="B16" s="9"/>
      <c r="C16" s="29"/>
      <c r="D16" s="14"/>
      <c r="E16" s="13"/>
      <c r="F16" s="30"/>
      <c r="G16" s="31"/>
      <c r="H16" s="9"/>
      <c r="I16" s="9"/>
      <c r="J16" s="7"/>
    </row>
    <row r="17" customFormat="false" ht="13.8" hidden="false" customHeight="false" outlineLevel="0" collapsed="false">
      <c r="A17" s="7"/>
      <c r="B17" s="9"/>
      <c r="C17" s="24"/>
      <c r="D17" s="14"/>
      <c r="E17" s="9"/>
      <c r="F17" s="26"/>
      <c r="G17" s="9"/>
      <c r="H17" s="9"/>
      <c r="I17" s="9"/>
      <c r="J17" s="7"/>
    </row>
    <row r="18" customFormat="false" ht="13.8" hidden="false" customHeight="false" outlineLevel="0" collapsed="false">
      <c r="A18" s="7"/>
      <c r="B18" s="9"/>
      <c r="C18" s="25"/>
      <c r="D18" s="14"/>
      <c r="E18" s="9"/>
      <c r="F18" s="9"/>
      <c r="G18" s="9"/>
      <c r="H18" s="9"/>
      <c r="I18" s="9"/>
      <c r="J18" s="7"/>
    </row>
    <row r="19" customFormat="false" ht="13.8" hidden="false" customHeight="false" outlineLevel="0" collapsed="false">
      <c r="A19" s="7"/>
      <c r="B19" s="13" t="s">
        <v>23</v>
      </c>
      <c r="C19" s="32"/>
      <c r="D19" s="14"/>
      <c r="E19" s="33"/>
      <c r="F19" s="19"/>
      <c r="G19" s="9"/>
      <c r="H19" s="9"/>
      <c r="I19" s="23"/>
      <c r="J19" s="7"/>
    </row>
    <row r="20" customFormat="false" ht="13.8" hidden="false" customHeight="false" outlineLevel="0" collapsed="false">
      <c r="A20" s="7"/>
      <c r="B20" s="13" t="s">
        <v>24</v>
      </c>
      <c r="C20" s="34" t="s">
        <v>25</v>
      </c>
      <c r="D20" s="14"/>
      <c r="E20" s="9"/>
      <c r="F20" s="35"/>
      <c r="G20" s="9"/>
      <c r="H20" s="36"/>
      <c r="I20" s="9"/>
      <c r="J20" s="7"/>
    </row>
    <row r="21" customFormat="false" ht="13.8" hidden="false" customHeight="false" outlineLevel="0" collapsed="false">
      <c r="A21" s="7"/>
      <c r="B21" s="9" t="s">
        <v>26</v>
      </c>
      <c r="C21" s="29" t="s">
        <v>44</v>
      </c>
      <c r="D21" s="14"/>
      <c r="E21" s="9"/>
      <c r="F21" s="26"/>
      <c r="G21" s="9"/>
      <c r="H21" s="37"/>
      <c r="I21" s="9"/>
      <c r="J21" s="7"/>
    </row>
    <row r="22" customFormat="false" ht="13.8" hidden="false" customHeight="false" outlineLevel="0" collapsed="false">
      <c r="A22" s="7"/>
      <c r="B22" s="9" t="s">
        <v>27</v>
      </c>
      <c r="C22" s="38" t="n">
        <v>5956713</v>
      </c>
      <c r="D22" s="14"/>
      <c r="E22" s="9"/>
      <c r="F22" s="35"/>
      <c r="G22" s="9"/>
      <c r="H22" s="36"/>
      <c r="I22" s="9"/>
      <c r="J22" s="7"/>
    </row>
    <row r="23" customFormat="false" ht="13.8" hidden="false" customHeight="false" outlineLevel="0" collapsed="false">
      <c r="A23" s="7"/>
      <c r="B23" s="9"/>
      <c r="C23" s="9"/>
      <c r="D23" s="14"/>
      <c r="E23" s="9"/>
      <c r="F23" s="35"/>
      <c r="G23" s="9"/>
      <c r="H23" s="36"/>
      <c r="I23" s="9"/>
      <c r="J23" s="7"/>
    </row>
    <row r="24" customFormat="false" ht="13.8" hidden="false" customHeight="false" outlineLevel="0" collapsed="false">
      <c r="A24" s="7"/>
      <c r="B24" s="9"/>
      <c r="C24" s="39"/>
      <c r="D24" s="14"/>
      <c r="E24" s="9"/>
      <c r="F24" s="26"/>
      <c r="G24" s="9"/>
      <c r="H24" s="37"/>
      <c r="I24" s="23"/>
      <c r="J24" s="7"/>
    </row>
    <row r="25" customFormat="false" ht="13.8" hidden="false" customHeight="false" outlineLevel="0" collapsed="false">
      <c r="A25" s="7"/>
      <c r="B25" s="9"/>
      <c r="C25" s="9"/>
      <c r="D25" s="14"/>
      <c r="E25" s="13"/>
      <c r="F25" s="19"/>
      <c r="G25" s="13"/>
      <c r="H25" s="40"/>
      <c r="I25" s="40"/>
      <c r="J25" s="7"/>
    </row>
    <row r="26" customFormat="false" ht="13.8" hidden="false" customHeight="false" outlineLevel="0" collapsed="false">
      <c r="A26" s="7"/>
      <c r="B26" s="13" t="s">
        <v>28</v>
      </c>
      <c r="C26" s="9"/>
      <c r="D26" s="14"/>
      <c r="E26" s="9"/>
      <c r="F26" s="26"/>
      <c r="G26" s="9"/>
      <c r="H26" s="9"/>
      <c r="I26" s="9"/>
      <c r="J26" s="7"/>
    </row>
    <row r="27" customFormat="false" ht="23.85" hidden="false" customHeight="false" outlineLevel="0" collapsed="false">
      <c r="A27" s="7"/>
      <c r="B27" s="9" t="s">
        <v>29</v>
      </c>
      <c r="C27" s="41" t="s">
        <v>45</v>
      </c>
      <c r="D27" s="14"/>
      <c r="E27" s="9"/>
      <c r="F27" s="26"/>
      <c r="G27" s="9"/>
      <c r="H27" s="40"/>
      <c r="I27" s="9"/>
      <c r="J27" s="7"/>
    </row>
    <row r="28" customFormat="false" ht="28.5" hidden="false" customHeight="true" outlineLevel="0" collapsed="false">
      <c r="A28" s="7"/>
      <c r="B28" s="9" t="s">
        <v>30</v>
      </c>
      <c r="C28" s="42" t="s">
        <v>46</v>
      </c>
      <c r="D28" s="14"/>
      <c r="E28" s="13"/>
      <c r="F28" s="19"/>
      <c r="G28" s="9"/>
      <c r="H28" s="23"/>
      <c r="I28" s="40"/>
      <c r="J28" s="7"/>
    </row>
    <row r="29" customFormat="false" ht="13.8" hidden="false" customHeight="false" outlineLevel="0" collapsed="false">
      <c r="A29" s="7"/>
      <c r="B29" s="43" t="s">
        <v>31</v>
      </c>
      <c r="C29" s="39" t="n">
        <v>1500735</v>
      </c>
      <c r="D29" s="14"/>
      <c r="E29" s="9"/>
      <c r="F29" s="26"/>
      <c r="G29" s="9"/>
      <c r="H29" s="9"/>
      <c r="I29" s="9"/>
      <c r="J29" s="7"/>
    </row>
    <row r="30" customFormat="false" ht="13.8" hidden="false" customHeight="false" outlineLevel="0" collapsed="false">
      <c r="A30" s="7"/>
      <c r="B30" s="9" t="s">
        <v>32</v>
      </c>
      <c r="C30" s="39" t="s">
        <v>47</v>
      </c>
      <c r="D30" s="14"/>
      <c r="E30" s="9"/>
      <c r="F30" s="26"/>
      <c r="G30" s="9"/>
      <c r="H30" s="36"/>
      <c r="I30" s="9"/>
      <c r="J30" s="7"/>
    </row>
    <row r="31" customFormat="false" ht="13.8" hidden="false" customHeight="false" outlineLevel="0" collapsed="false">
      <c r="A31" s="7"/>
      <c r="B31" s="9" t="s">
        <v>33</v>
      </c>
      <c r="C31" s="39" t="s">
        <v>48</v>
      </c>
      <c r="D31" s="14"/>
      <c r="E31" s="9"/>
      <c r="F31" s="26"/>
      <c r="G31" s="9"/>
      <c r="H31" s="37"/>
      <c r="I31" s="9"/>
      <c r="J31" s="7"/>
    </row>
    <row r="32" customFormat="false" ht="13.8" hidden="false" customHeight="false" outlineLevel="0" collapsed="false">
      <c r="A32" s="7"/>
      <c r="B32" s="9" t="s">
        <v>34</v>
      </c>
      <c r="C32" s="39" t="s">
        <v>49</v>
      </c>
      <c r="D32" s="14"/>
      <c r="E32" s="9"/>
      <c r="F32" s="26"/>
      <c r="G32" s="9"/>
      <c r="H32" s="9"/>
      <c r="I32" s="9"/>
      <c r="J32" s="7"/>
    </row>
    <row r="33" customFormat="false" ht="13.8" hidden="false" customHeight="false" outlineLevel="0" collapsed="false">
      <c r="A33" s="7"/>
      <c r="B33" s="9" t="s">
        <v>35</v>
      </c>
      <c r="C33" s="39" t="n">
        <v>20633</v>
      </c>
      <c r="D33" s="14"/>
      <c r="E33" s="13"/>
      <c r="F33" s="19"/>
      <c r="G33" s="9"/>
      <c r="H33" s="9"/>
      <c r="I33" s="40"/>
      <c r="J33" s="7"/>
    </row>
    <row r="34" customFormat="false" ht="13.8" hidden="false" customHeight="false" outlineLevel="0" collapsed="false">
      <c r="A34" s="7"/>
      <c r="B34" s="9" t="s">
        <v>36</v>
      </c>
      <c r="C34" s="39" t="s">
        <v>49</v>
      </c>
      <c r="D34" s="14"/>
      <c r="E34" s="9"/>
      <c r="F34" s="26"/>
      <c r="G34" s="9"/>
      <c r="H34" s="23"/>
      <c r="I34" s="23"/>
      <c r="J34" s="7"/>
    </row>
    <row r="35" customFormat="false" ht="13.8" hidden="false" customHeight="false" outlineLevel="0" collapsed="false">
      <c r="A35" s="7"/>
      <c r="B35" s="9"/>
      <c r="C35" s="9"/>
      <c r="D35" s="14"/>
      <c r="E35" s="9"/>
      <c r="F35" s="35"/>
      <c r="G35" s="9"/>
      <c r="H35" s="9"/>
      <c r="I35" s="9"/>
      <c r="J35" s="7"/>
    </row>
    <row r="36" customFormat="false" ht="13.8" hidden="false" customHeight="false" outlineLevel="0" collapsed="false">
      <c r="A36" s="7"/>
      <c r="B36" s="13" t="s">
        <v>37</v>
      </c>
      <c r="C36" s="9"/>
      <c r="D36" s="14"/>
      <c r="E36" s="9"/>
      <c r="F36" s="26"/>
      <c r="G36" s="9"/>
      <c r="H36" s="44"/>
      <c r="I36" s="9"/>
      <c r="J36" s="7"/>
    </row>
    <row r="37" customFormat="false" ht="13.8" hidden="false" customHeight="false" outlineLevel="0" collapsed="false">
      <c r="A37" s="7"/>
      <c r="B37" s="9" t="s">
        <v>38</v>
      </c>
      <c r="C37" s="45" t="s">
        <v>39</v>
      </c>
      <c r="D37" s="14"/>
      <c r="E37" s="9"/>
      <c r="F37" s="26"/>
      <c r="G37" s="9"/>
      <c r="H37" s="9"/>
      <c r="I37" s="9"/>
      <c r="J37" s="7"/>
    </row>
    <row r="38" customFormat="false" ht="13.8" hidden="false" customHeight="false" outlineLevel="0" collapsed="false">
      <c r="A38" s="7"/>
      <c r="B38" s="9" t="s">
        <v>40</v>
      </c>
      <c r="C38" s="46" t="n">
        <v>1944.53</v>
      </c>
      <c r="D38" s="14"/>
      <c r="E38" s="13"/>
      <c r="F38" s="26"/>
      <c r="G38" s="9"/>
      <c r="H38" s="9"/>
      <c r="I38" s="40"/>
      <c r="J38" s="7"/>
    </row>
    <row r="39" customFormat="false" ht="13.8" hidden="false" customHeight="false" outlineLevel="0" collapsed="false">
      <c r="A39" s="7"/>
      <c r="B39" s="9" t="s">
        <v>41</v>
      </c>
      <c r="C39" s="47" t="n">
        <v>0.9302</v>
      </c>
      <c r="D39" s="14"/>
      <c r="E39" s="13"/>
      <c r="F39" s="30"/>
      <c r="G39" s="31"/>
      <c r="H39" s="9"/>
      <c r="I39" s="40"/>
      <c r="J39" s="7"/>
    </row>
    <row r="40" customFormat="false" ht="13.8" hidden="false" customHeight="false" outlineLevel="0" collapsed="false">
      <c r="A40" s="7"/>
      <c r="B40" s="9" t="s">
        <v>42</v>
      </c>
      <c r="C40" s="50" t="n">
        <v>1808.801806</v>
      </c>
      <c r="D40" s="14"/>
      <c r="E40" s="9"/>
      <c r="F40" s="26"/>
      <c r="G40" s="9"/>
      <c r="H40" s="9"/>
      <c r="I40" s="40"/>
      <c r="J40" s="7"/>
    </row>
    <row r="41" customFormat="false" ht="15" hidden="false" customHeight="false" outlineLevel="0" collapsed="false">
      <c r="A41" s="7"/>
      <c r="B41" s="14"/>
      <c r="C41" s="14"/>
      <c r="D41" s="14"/>
      <c r="E41" s="14"/>
      <c r="F41" s="14"/>
      <c r="G41" s="14"/>
      <c r="H41" s="14"/>
      <c r="I41" s="14"/>
      <c r="J41" s="7"/>
    </row>
    <row r="43" customFormat="false" ht="15" hidden="false" customHeight="false" outlineLevel="0" collapsed="false">
      <c r="B43" s="49"/>
      <c r="C43" s="49"/>
      <c r="D43" s="49"/>
      <c r="E43" s="49"/>
      <c r="F43" s="49"/>
      <c r="G43" s="49"/>
      <c r="H43" s="49"/>
      <c r="I43" s="49"/>
    </row>
    <row r="44" customFormat="false" ht="15" hidden="false" customHeight="false" outlineLevel="0" collapsed="false">
      <c r="B44" s="49"/>
      <c r="C44" s="49"/>
      <c r="D44" s="49"/>
      <c r="E44" s="49"/>
      <c r="F44" s="49"/>
      <c r="G44" s="49"/>
      <c r="H44" s="49"/>
      <c r="I44" s="49"/>
    </row>
    <row r="45" customFormat="false" ht="15" hidden="false" customHeight="false" outlineLevel="0" collapsed="false">
      <c r="B45" s="49"/>
      <c r="C45" s="49"/>
      <c r="D45" s="49"/>
      <c r="E45" s="49"/>
      <c r="F45" s="49"/>
      <c r="G45" s="49"/>
      <c r="H45" s="49"/>
      <c r="I45" s="49"/>
    </row>
  </sheetData>
  <mergeCells count="2">
    <mergeCell ref="C3:I3"/>
    <mergeCell ref="B43:I45"/>
  </mergeCells>
  <dataValidations count="1">
    <dataValidation allowBlank="false" errorStyle="stop" operator="between" showDropDown="false" showErrorMessage="true" showInputMessage="true" sqref="C1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colBreaks count="1" manualBreakCount="1">
    <brk id="9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2026-09-22T21:48:57Z</dcterms:created>
  <dc:creator/>
  <dc:description/>
  <dc:language>es-BO</dc:language>
  <cp:lastModifiedBy/>
  <dcterms:modified xsi:type="dcterms:W3CDTF">2026-10-12T12:54:52Z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